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3212372/Downloads/"/>
    </mc:Choice>
  </mc:AlternateContent>
  <xr:revisionPtr revIDLastSave="0" documentId="8_{52BDF470-979C-431B-B9FF-901A18C56656}" xr6:coauthVersionLast="47" xr6:coauthVersionMax="47" xr10:uidLastSave="{00000000-0000-0000-0000-000000000000}"/>
  <bookViews>
    <workbookView xWindow="3420" yWindow="500" windowWidth="21960" windowHeight="15800" firstSheet="1" activeTab="1" xr2:uid="{2E693927-8D94-4A65-B55D-C5976DA2B93C}"/>
  </bookViews>
  <sheets>
    <sheet name="Overview" sheetId="5" r:id="rId1"/>
    <sheet name="Worksheet" sheetId="4" r:id="rId2"/>
    <sheet name="Worksheet Example" sheetId="3" r:id="rId3"/>
    <sheet name="Variabl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H16" i="4"/>
  <c r="I16" i="4"/>
  <c r="G17" i="4"/>
  <c r="H17" i="4"/>
  <c r="I17" i="4"/>
  <c r="O18" i="3"/>
  <c r="O19" i="3"/>
  <c r="O20" i="3"/>
  <c r="O21" i="3"/>
  <c r="AA22" i="3"/>
  <c r="AB22" i="3"/>
  <c r="AC22" i="3"/>
  <c r="AD22" i="3"/>
  <c r="Q22" i="3"/>
  <c r="R22" i="3"/>
  <c r="S22" i="3"/>
  <c r="T22" i="3"/>
  <c r="U22" i="3"/>
  <c r="V22" i="3"/>
  <c r="W22" i="3"/>
  <c r="X22" i="3"/>
  <c r="Y22" i="3"/>
  <c r="Z22" i="3"/>
  <c r="P22" i="3"/>
  <c r="O22" i="3" s="1"/>
  <c r="F19" i="4"/>
  <c r="E19" i="4"/>
  <c r="H15" i="4"/>
  <c r="I15" i="4" s="1"/>
  <c r="G15" i="4"/>
  <c r="H14" i="4"/>
  <c r="I14" i="4" s="1"/>
  <c r="G14" i="4"/>
  <c r="H13" i="4"/>
  <c r="I13" i="4" s="1"/>
  <c r="G13" i="4"/>
  <c r="H12" i="4"/>
  <c r="I12" i="4" s="1"/>
  <c r="G12" i="4"/>
  <c r="H11" i="4"/>
  <c r="I11" i="4" s="1"/>
  <c r="G11" i="4"/>
  <c r="H10" i="4"/>
  <c r="I10" i="4" s="1"/>
  <c r="G10" i="4"/>
  <c r="H9" i="4"/>
  <c r="I9" i="4" s="1"/>
  <c r="G9" i="4"/>
  <c r="H8" i="4"/>
  <c r="I8" i="4" s="1"/>
  <c r="G8" i="4"/>
  <c r="H7" i="4"/>
  <c r="I7" i="4" s="1"/>
  <c r="G7" i="4"/>
  <c r="H6" i="4"/>
  <c r="I6" i="4" s="1"/>
  <c r="G6" i="4"/>
  <c r="H5" i="4"/>
  <c r="I5" i="4" s="1"/>
  <c r="G5" i="4"/>
  <c r="H4" i="4"/>
  <c r="I4" i="4" s="1"/>
  <c r="I19" i="4" s="1"/>
  <c r="G4" i="4"/>
  <c r="H3" i="4"/>
  <c r="I3" i="4" s="1"/>
  <c r="I20" i="4" s="1"/>
  <c r="G3" i="4"/>
  <c r="G19" i="4" s="1"/>
  <c r="I21" i="4" s="1"/>
  <c r="I22" i="4" s="1"/>
  <c r="I23" i="4" s="1"/>
  <c r="G3" i="3"/>
  <c r="H3" i="3"/>
  <c r="I3" i="3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G10" i="3"/>
  <c r="G11" i="3"/>
  <c r="G12" i="3"/>
  <c r="G13" i="3"/>
  <c r="G14" i="3"/>
  <c r="G15" i="3"/>
  <c r="F18" i="3"/>
  <c r="E18" i="3"/>
  <c r="G16" i="3"/>
  <c r="H9" i="3"/>
  <c r="I9" i="3" s="1"/>
  <c r="G9" i="3"/>
  <c r="H8" i="3"/>
  <c r="I8" i="3" s="1"/>
  <c r="G8" i="3"/>
  <c r="H7" i="3"/>
  <c r="I7" i="3" s="1"/>
  <c r="G7" i="3"/>
  <c r="H6" i="3"/>
  <c r="I6" i="3" s="1"/>
  <c r="G6" i="3"/>
  <c r="H5" i="3"/>
  <c r="I5" i="3" s="1"/>
  <c r="G5" i="3"/>
  <c r="H4" i="3"/>
  <c r="I4" i="3" s="1"/>
  <c r="I18" i="3" s="1"/>
  <c r="I19" i="3" s="1"/>
  <c r="G4" i="3"/>
  <c r="G18" i="3" s="1"/>
  <c r="I20" i="3" s="1"/>
  <c r="I21" i="3" s="1"/>
  <c r="I22" i="3" s="1"/>
</calcChain>
</file>

<file path=xl/sharedStrings.xml><?xml version="1.0" encoding="utf-8"?>
<sst xmlns="http://schemas.openxmlformats.org/spreadsheetml/2006/main" count="118" uniqueCount="88">
  <si>
    <t>Step 0</t>
  </si>
  <si>
    <t>Create a new copy of this document</t>
  </si>
  <si>
    <t>This is a blank template. Please do not edit this document directly. Create a copy.</t>
  </si>
  <si>
    <t>Step 1</t>
  </si>
  <si>
    <t>Work Breakdown</t>
  </si>
  <si>
    <t>There are three hierarchy levels to define a work breakdown. These could be thought of as Epic/Feature/Story.</t>
  </si>
  <si>
    <t>Break down to as much detail as you can, the more the better.</t>
  </si>
  <si>
    <t>Some times, you don't have more detail, that is fine. Try to have at least 10 line items in your estimate.</t>
  </si>
  <si>
    <t>If you are getting down to the level of tasks that will only take a few minutes to accomplish, you are going too deep.</t>
  </si>
  <si>
    <t>If you are inserting new rows, ensure you copy the equations for Expected Case, STD Dev, and Variance into the rows.</t>
  </si>
  <si>
    <t>Step 2</t>
  </si>
  <si>
    <t>Ranged Effort Estimate</t>
  </si>
  <si>
    <t>The range from best case to worst case should be:</t>
  </si>
  <si>
    <t>Estimated in Hours</t>
  </si>
  <si>
    <t>Account for time required to get to "Done" and not just "Code Complete"</t>
  </si>
  <si>
    <t>Assume a generic resource that has average skillsets required to accomplish the task</t>
  </si>
  <si>
    <t>Give a range that you would be 90% confident is achievable. This may result in very large ranges - thats good! We want to know where those are.</t>
  </si>
  <si>
    <t>4 hours to 400 hundred hours may be a perfectly valid estimate.</t>
  </si>
  <si>
    <t>If we knew perfectly what needed to be done, it probably wouldn't be worth doing.</t>
  </si>
  <si>
    <t>There are going to be areas we don't know, or have a large degree of uncertainty.</t>
  </si>
  <si>
    <t>Step 3</t>
  </si>
  <si>
    <t>Interpretation</t>
  </si>
  <si>
    <t>The duration and effort estimate numbers will give you a starting point to develop a staffing plan.</t>
  </si>
  <si>
    <t>The duration should be considered a "do not go under" number. While work may take more time, it will almost never take less.</t>
  </si>
  <si>
    <t>For the duration specified, add resources to a staffing plan to account for the estimated effort until parity is achieved.</t>
  </si>
  <si>
    <t>There may be known schedule dependencies that cannot be estimated in the planned activities - like Holidays, PTO, Ramp Up - the staffing plan is where these are accounted for.</t>
  </si>
  <si>
    <t>There is an example staffing plan, but it is mostly a manual process and will need to be created for each case.</t>
  </si>
  <si>
    <t>Step 4</t>
  </si>
  <si>
    <t>Refinement &amp; Presentation</t>
  </si>
  <si>
    <t>These worksheets are not for business consumption, they are worksheets for technical teams to sanity check their plans.</t>
  </si>
  <si>
    <t>The numbers and plans that come out of this may require further refinement or tweaking based on SME knowledge of the work.</t>
  </si>
  <si>
    <t>At the end of the day, we are making a guess, all of us are bad at predicting the future. This is meant to identify and communicate planned effort and risks.</t>
  </si>
  <si>
    <t>Level 1</t>
  </si>
  <si>
    <t>Level 2</t>
  </si>
  <si>
    <t>Level 3</t>
  </si>
  <si>
    <t>Notes</t>
  </si>
  <si>
    <t>Best Case</t>
  </si>
  <si>
    <t>Worst Case</t>
  </si>
  <si>
    <t>Expected Case</t>
  </si>
  <si>
    <t>STD Dev</t>
  </si>
  <si>
    <t>Variance</t>
  </si>
  <si>
    <t>Total</t>
  </si>
  <si>
    <t>-</t>
  </si>
  <si>
    <t>Effort</t>
  </si>
  <si>
    <t>hours</t>
  </si>
  <si>
    <t>staff weeks</t>
  </si>
  <si>
    <t>Duration</t>
  </si>
  <si>
    <t>weeks</t>
  </si>
  <si>
    <t>Layouts &amp; schemas</t>
  </si>
  <si>
    <t>Page 1</t>
  </si>
  <si>
    <t>7 components potential horizontal scroll feature</t>
  </si>
  <si>
    <t>Page 2</t>
  </si>
  <si>
    <t>8 components</t>
  </si>
  <si>
    <t>Page 3</t>
  </si>
  <si>
    <t>7 components potential horizontal scroll feature and accordion</t>
  </si>
  <si>
    <t>Accordion is hard</t>
  </si>
  <si>
    <t>Page 4</t>
  </si>
  <si>
    <t>4 components</t>
  </si>
  <si>
    <t>Page 5</t>
  </si>
  <si>
    <t>Nav &amp; Footer</t>
  </si>
  <si>
    <t>Need more info</t>
  </si>
  <si>
    <t xml:space="preserve">Contentstack </t>
  </si>
  <si>
    <t>Environement &amp; Language Config</t>
  </si>
  <si>
    <t>Translations (admin activities)</t>
  </si>
  <si>
    <t>Dependent on another team</t>
  </si>
  <si>
    <t>Documentation &amp; Handoff</t>
  </si>
  <si>
    <t>Q&amp;A</t>
  </si>
  <si>
    <t>Staffing Plan</t>
  </si>
  <si>
    <t>Reame, docs</t>
  </si>
  <si>
    <t>Weeks</t>
  </si>
  <si>
    <t>Discipline Required</t>
  </si>
  <si>
    <t>Scrum Master</t>
  </si>
  <si>
    <t>PI Plan</t>
  </si>
  <si>
    <t>Lead Dev</t>
  </si>
  <si>
    <t>PTO</t>
  </si>
  <si>
    <t>Associate Dev</t>
  </si>
  <si>
    <t>QA</t>
  </si>
  <si>
    <t>Total Hours</t>
  </si>
  <si>
    <t>*** scroll to the right for staffing plan ***</t>
  </si>
  <si>
    <t>Weeks 1 &amp; 2 will be mostly ramp up</t>
  </si>
  <si>
    <t>Week 7 is PI planning</t>
  </si>
  <si>
    <t>Week 8 &amp; 9 our lead is on PTO</t>
  </si>
  <si>
    <t>QA activities will ramp up near the end</t>
  </si>
  <si>
    <t>36 hours per week max were set as an estimate expectation on the variables tab</t>
  </si>
  <si>
    <t>Duration Multiplier</t>
  </si>
  <si>
    <t>STD Dev Divisor</t>
  </si>
  <si>
    <t>Billable hours/week</t>
  </si>
  <si>
    <t>Ecpected Case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</si>
</sst>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"/>
    <numFmt numFmtId="166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b/>
      <sz val="14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164" fontId="1" fillId="0" borderId="0" xfId="0" applyNumberFormat="1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AFBE-9FBD-46B3-82E4-E144BCDFBAD3}">
  <dimension ref="B1:E27"/>
  <sheetViews>
    <sheetView workbookViewId="0"/>
  </sheetViews>
  <sheetFormatPr defaultColWidth="8.85546875" defaultRowHeight="15"/>
  <sheetData>
    <row r="1" spans="2:5">
      <c r="B1" s="2" t="s">
        <v>0</v>
      </c>
      <c r="C1" s="2" t="s">
        <v>1</v>
      </c>
    </row>
    <row r="2" spans="2:5">
      <c r="B2" s="2"/>
      <c r="C2" s="15" t="s">
        <v>2</v>
      </c>
    </row>
    <row r="3" spans="2:5">
      <c r="B3" s="2" t="s">
        <v>3</v>
      </c>
      <c r="C3" s="2" t="s">
        <v>4</v>
      </c>
    </row>
    <row r="4" spans="2:5">
      <c r="C4" t="s">
        <v>5</v>
      </c>
    </row>
    <row r="5" spans="2:5">
      <c r="C5" t="s">
        <v>6</v>
      </c>
    </row>
    <row r="6" spans="2:5">
      <c r="C6" t="s">
        <v>7</v>
      </c>
    </row>
    <row r="7" spans="2:5">
      <c r="C7" t="s">
        <v>8</v>
      </c>
    </row>
    <row r="8" spans="2:5">
      <c r="C8" t="s">
        <v>9</v>
      </c>
    </row>
    <row r="9" spans="2:5">
      <c r="B9" s="2" t="s">
        <v>10</v>
      </c>
      <c r="C9" s="2" t="s">
        <v>11</v>
      </c>
    </row>
    <row r="10" spans="2:5">
      <c r="C10" t="s">
        <v>12</v>
      </c>
    </row>
    <row r="11" spans="2:5">
      <c r="D11" t="s">
        <v>13</v>
      </c>
    </row>
    <row r="12" spans="2:5">
      <c r="D12" t="s">
        <v>14</v>
      </c>
    </row>
    <row r="13" spans="2:5">
      <c r="D13" t="s">
        <v>15</v>
      </c>
    </row>
    <row r="14" spans="2:5">
      <c r="D14" t="s">
        <v>16</v>
      </c>
    </row>
    <row r="15" spans="2:5">
      <c r="E15" t="s">
        <v>17</v>
      </c>
    </row>
    <row r="16" spans="2:5">
      <c r="E16" t="s">
        <v>18</v>
      </c>
    </row>
    <row r="17" spans="2:5">
      <c r="E17" t="s">
        <v>19</v>
      </c>
    </row>
    <row r="18" spans="2:5">
      <c r="B18" s="2" t="s">
        <v>20</v>
      </c>
      <c r="C18" s="2" t="s">
        <v>21</v>
      </c>
    </row>
    <row r="19" spans="2:5">
      <c r="C19" t="s">
        <v>22</v>
      </c>
    </row>
    <row r="20" spans="2:5">
      <c r="C20" t="s">
        <v>23</v>
      </c>
    </row>
    <row r="21" spans="2:5">
      <c r="C21" t="s">
        <v>24</v>
      </c>
    </row>
    <row r="22" spans="2:5">
      <c r="C22" t="s">
        <v>25</v>
      </c>
    </row>
    <row r="23" spans="2:5">
      <c r="C23" t="s">
        <v>26</v>
      </c>
    </row>
    <row r="24" spans="2:5">
      <c r="B24" s="2" t="s">
        <v>27</v>
      </c>
      <c r="C24" s="2" t="s">
        <v>28</v>
      </c>
    </row>
    <row r="25" spans="2:5">
      <c r="C25" t="s">
        <v>29</v>
      </c>
    </row>
    <row r="26" spans="2:5">
      <c r="C26" t="s">
        <v>30</v>
      </c>
    </row>
    <row r="27" spans="2:5">
      <c r="C2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7D3E-07BA-4893-8D74-B328677F172C}">
  <dimension ref="A1:O34"/>
  <sheetViews>
    <sheetView tabSelected="1" workbookViewId="0">
      <selection activeCell="E5" sqref="E5"/>
    </sheetView>
  </sheetViews>
  <sheetFormatPr defaultColWidth="8.85546875" defaultRowHeight="15.75" customHeight="1"/>
  <cols>
    <col min="1" max="1" width="30.42578125" customWidth="1"/>
    <col min="2" max="2" width="33.42578125" customWidth="1"/>
    <col min="3" max="3" width="30.28515625" customWidth="1"/>
    <col min="4" max="4" width="26.42578125" bestFit="1" customWidth="1"/>
    <col min="5" max="5" width="9.42578125" bestFit="1" customWidth="1"/>
    <col min="6" max="6" width="10.85546875" bestFit="1" customWidth="1"/>
    <col min="7" max="7" width="13.85546875" style="7" bestFit="1" customWidth="1"/>
    <col min="8" max="8" width="8.140625" style="1" bestFit="1" customWidth="1"/>
    <col min="9" max="9" width="13.85546875" style="1" bestFit="1" customWidth="1"/>
    <col min="10" max="10" width="11.140625" bestFit="1" customWidth="1"/>
    <col min="11" max="11" width="15.28515625" bestFit="1" customWidth="1"/>
    <col min="12" max="12" width="22.140625" customWidth="1"/>
    <col min="13" max="13" width="15.28515625" customWidth="1"/>
  </cols>
  <sheetData>
    <row r="1" spans="1:9" ht="15.75" customHeigh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8" t="s">
        <v>38</v>
      </c>
      <c r="H1" s="11" t="s">
        <v>39</v>
      </c>
      <c r="I1" s="11" t="s">
        <v>40</v>
      </c>
    </row>
    <row r="3" spans="1:9" ht="15.75" customHeight="1">
      <c r="C3" s="10"/>
      <c r="E3" s="12"/>
      <c r="F3" s="12"/>
      <c r="G3" s="7">
        <f>((F3-E3)*Variables!$C$5)+E3</f>
        <v>0</v>
      </c>
      <c r="H3" s="1">
        <f>(F3-E3)/Variables!$C$3</f>
        <v>0</v>
      </c>
      <c r="I3" s="1">
        <f t="shared" ref="I3:I17" si="0">H3^2</f>
        <v>0</v>
      </c>
    </row>
    <row r="4" spans="1:9" ht="15.75" customHeight="1">
      <c r="C4" s="10"/>
      <c r="E4" s="12"/>
      <c r="F4" s="12"/>
      <c r="G4" s="7">
        <f>((F4-E4)*Variables!$C$5)+E4</f>
        <v>0</v>
      </c>
      <c r="H4" s="1">
        <f>(F4-E4)/Variables!$C$3</f>
        <v>0</v>
      </c>
      <c r="I4" s="1">
        <f t="shared" si="0"/>
        <v>0</v>
      </c>
    </row>
    <row r="5" spans="1:9" ht="15.75" customHeight="1">
      <c r="C5" s="10"/>
      <c r="E5" s="12"/>
      <c r="F5" s="12"/>
      <c r="G5" s="7">
        <f>((F5-E5)*Variables!$C$5)+E5</f>
        <v>0</v>
      </c>
      <c r="H5" s="1">
        <f>(F5-E5)/Variables!$C$3</f>
        <v>0</v>
      </c>
      <c r="I5" s="1">
        <f t="shared" si="0"/>
        <v>0</v>
      </c>
    </row>
    <row r="6" spans="1:9" ht="15.75" customHeight="1">
      <c r="C6" s="10"/>
      <c r="E6" s="12"/>
      <c r="F6" s="12"/>
      <c r="G6" s="7">
        <f>((F6-E6)*Variables!$C$5)+E6</f>
        <v>0</v>
      </c>
      <c r="H6" s="1">
        <f>(F6-E6)/Variables!$C$3</f>
        <v>0</v>
      </c>
      <c r="I6" s="1">
        <f t="shared" si="0"/>
        <v>0</v>
      </c>
    </row>
    <row r="7" spans="1:9" ht="15.75" customHeight="1">
      <c r="C7" s="10"/>
      <c r="E7" s="12"/>
      <c r="F7" s="12"/>
      <c r="G7" s="7">
        <f>((F7-E7)*Variables!$C$5)+E7</f>
        <v>0</v>
      </c>
      <c r="H7" s="1">
        <f>(F7-E7)/Variables!$C$3</f>
        <v>0</v>
      </c>
      <c r="I7" s="1">
        <f t="shared" si="0"/>
        <v>0</v>
      </c>
    </row>
    <row r="8" spans="1:9" ht="15.75" customHeight="1">
      <c r="C8" s="10"/>
      <c r="E8" s="12"/>
      <c r="F8" s="12"/>
      <c r="G8" s="7">
        <f>((F8-E8)*Variables!$C$5)+E8</f>
        <v>0</v>
      </c>
      <c r="H8" s="1">
        <f>(F8-E8)/Variables!$C$3</f>
        <v>0</v>
      </c>
      <c r="I8" s="1">
        <f t="shared" si="0"/>
        <v>0</v>
      </c>
    </row>
    <row r="9" spans="1:9" ht="15.75" customHeight="1">
      <c r="C9" s="10"/>
      <c r="E9" s="12"/>
      <c r="F9" s="12"/>
      <c r="G9" s="7">
        <f>((F9-E9)*Variables!$C$5)+E9</f>
        <v>0</v>
      </c>
      <c r="H9" s="1">
        <f>(F9-E9)/Variables!$C$3</f>
        <v>0</v>
      </c>
      <c r="I9" s="1">
        <f t="shared" si="0"/>
        <v>0</v>
      </c>
    </row>
    <row r="10" spans="1:9" ht="15.75" customHeight="1">
      <c r="C10" s="10"/>
      <c r="E10" s="12"/>
      <c r="F10" s="12"/>
      <c r="G10" s="7">
        <f>((F10-E10)*Variables!$C$5)+E10</f>
        <v>0</v>
      </c>
      <c r="H10" s="1">
        <f>(F10-E10)/Variables!$C$3</f>
        <v>0</v>
      </c>
      <c r="I10" s="1">
        <f t="shared" si="0"/>
        <v>0</v>
      </c>
    </row>
    <row r="11" spans="1:9" ht="15.75" customHeight="1">
      <c r="C11" s="10"/>
      <c r="E11" s="12"/>
      <c r="F11" s="12"/>
      <c r="G11" s="7">
        <f>((F11-E11)*Variables!$C$5)+E11</f>
        <v>0</v>
      </c>
      <c r="H11" s="1">
        <f>(F11-E11)/Variables!$C$3</f>
        <v>0</v>
      </c>
      <c r="I11" s="1">
        <f t="shared" si="0"/>
        <v>0</v>
      </c>
    </row>
    <row r="12" spans="1:9" ht="15.75" customHeight="1">
      <c r="C12" s="10"/>
      <c r="E12" s="12"/>
      <c r="F12" s="12"/>
      <c r="G12" s="7">
        <f>((F12-E12)*Variables!$C$5)+E12</f>
        <v>0</v>
      </c>
      <c r="H12" s="1">
        <f>(F12-E12)/Variables!$C$3</f>
        <v>0</v>
      </c>
      <c r="I12" s="1">
        <f t="shared" si="0"/>
        <v>0</v>
      </c>
    </row>
    <row r="13" spans="1:9" ht="15.75" customHeight="1">
      <c r="C13" s="10"/>
      <c r="E13" s="12"/>
      <c r="F13" s="12"/>
      <c r="G13" s="7">
        <f>((F13-E13)*Variables!$C$5)+E13</f>
        <v>0</v>
      </c>
      <c r="H13" s="1">
        <f>(F13-E13)/Variables!$C$3</f>
        <v>0</v>
      </c>
      <c r="I13" s="1">
        <f t="shared" si="0"/>
        <v>0</v>
      </c>
    </row>
    <row r="14" spans="1:9" ht="15.75" customHeight="1">
      <c r="C14" s="10"/>
      <c r="E14" s="12"/>
      <c r="F14" s="12"/>
      <c r="G14" s="7">
        <f>((F14-E14)*Variables!$C$5)+E14</f>
        <v>0</v>
      </c>
      <c r="H14" s="1">
        <f>(F14-E14)/Variables!$C$3</f>
        <v>0</v>
      </c>
      <c r="I14" s="1">
        <f t="shared" si="0"/>
        <v>0</v>
      </c>
    </row>
    <row r="15" spans="1:9" ht="15.75" customHeight="1">
      <c r="C15" s="10"/>
      <c r="E15" s="12"/>
      <c r="F15" s="12"/>
      <c r="G15" s="7">
        <f>((F15-E15)*Variables!$C$5)+E15</f>
        <v>0</v>
      </c>
      <c r="H15" s="1">
        <f>(F15-E15)/Variables!$C$3</f>
        <v>0</v>
      </c>
      <c r="I15" s="1">
        <f t="shared" si="0"/>
        <v>0</v>
      </c>
    </row>
    <row r="16" spans="1:9" ht="15.75" customHeight="1">
      <c r="C16" s="10"/>
      <c r="E16" s="12"/>
      <c r="F16" s="12"/>
      <c r="G16" s="7">
        <f>((F16-E16)*Variables!$C$5)+E16</f>
        <v>0</v>
      </c>
      <c r="H16" s="1">
        <f>(F16-E16)/Variables!$C$3</f>
        <v>0</v>
      </c>
      <c r="I16" s="1">
        <f t="shared" ref="I16:I17" si="1">H16^2</f>
        <v>0</v>
      </c>
    </row>
    <row r="17" spans="3:10" ht="15.75" customHeight="1">
      <c r="C17" s="10"/>
      <c r="E17" s="12"/>
      <c r="F17" s="12"/>
      <c r="G17" s="7">
        <f>((F17-E17)*Variables!$C$5)+E17</f>
        <v>0</v>
      </c>
      <c r="H17" s="1">
        <f>(F17-E17)/Variables!$C$3</f>
        <v>0</v>
      </c>
      <c r="I17" s="1">
        <f t="shared" si="1"/>
        <v>0</v>
      </c>
    </row>
    <row r="19" spans="3:10" s="2" customFormat="1" ht="15.75" customHeight="1">
      <c r="D19" s="2" t="s">
        <v>41</v>
      </c>
      <c r="E19" s="2">
        <f>SUM(E2:E18)</f>
        <v>0</v>
      </c>
      <c r="F19" s="2">
        <f>SUM(F2:F18)</f>
        <v>0</v>
      </c>
      <c r="G19" s="8">
        <f>SUM(G2:G18)</f>
        <v>0</v>
      </c>
      <c r="H19" s="3" t="s">
        <v>42</v>
      </c>
      <c r="I19" s="4">
        <f>SUM(I2:I18)</f>
        <v>0</v>
      </c>
    </row>
    <row r="20" spans="3:10" s="2" customFormat="1" ht="15.75" customHeight="1">
      <c r="D20" s="2" t="s">
        <v>39</v>
      </c>
      <c r="E20" s="5" t="s">
        <v>42</v>
      </c>
      <c r="F20" s="5" t="s">
        <v>42</v>
      </c>
      <c r="G20" s="9"/>
      <c r="H20" s="5" t="s">
        <v>42</v>
      </c>
      <c r="I20" s="4">
        <f>SQRT(I19)</f>
        <v>0</v>
      </c>
    </row>
    <row r="21" spans="3:10" s="2" customFormat="1" ht="15.75" customHeight="1">
      <c r="D21" s="2" t="s">
        <v>43</v>
      </c>
      <c r="E21" s="5"/>
      <c r="F21" s="5"/>
      <c r="G21" s="9"/>
      <c r="H21" s="5"/>
      <c r="I21" s="4">
        <f>G19+I20</f>
        <v>0</v>
      </c>
      <c r="J21" s="2" t="s">
        <v>44</v>
      </c>
    </row>
    <row r="22" spans="3:10" s="2" customFormat="1" ht="15.75" customHeight="1">
      <c r="E22" s="5"/>
      <c r="F22" s="5"/>
      <c r="G22" s="9"/>
      <c r="H22" s="5"/>
      <c r="I22" s="4">
        <f>I21/Variables!$C$4</f>
        <v>0</v>
      </c>
      <c r="J22" s="2" t="s">
        <v>45</v>
      </c>
    </row>
    <row r="23" spans="3:10" s="2" customFormat="1" ht="15.75" customHeight="1">
      <c r="D23" s="2" t="s">
        <v>46</v>
      </c>
      <c r="E23" s="5"/>
      <c r="F23" s="5"/>
      <c r="G23" s="9"/>
      <c r="H23" s="5"/>
      <c r="I23" s="4">
        <f>_xlfn.CEILING.MATH(Variables!$C$2*(Worksheet!I22^(1/3)))</f>
        <v>0</v>
      </c>
      <c r="J23" s="2" t="s">
        <v>47</v>
      </c>
    </row>
    <row r="24" spans="3:10" s="2" customFormat="1" ht="15.75" customHeight="1">
      <c r="E24" s="5"/>
      <c r="F24" s="5"/>
      <c r="G24" s="9"/>
      <c r="H24" s="5"/>
      <c r="I24" s="4"/>
    </row>
    <row r="25" spans="3:10" s="2" customFormat="1" ht="15.75" customHeight="1">
      <c r="E25" s="5"/>
      <c r="F25" s="5"/>
      <c r="G25" s="9"/>
      <c r="H25" s="5"/>
      <c r="I25" s="4"/>
    </row>
    <row r="26" spans="3:10" s="2" customFormat="1" ht="15.75" customHeight="1">
      <c r="E26" s="5"/>
      <c r="F26" s="5"/>
      <c r="G26" s="9"/>
      <c r="H26" s="5"/>
      <c r="I26" s="4"/>
    </row>
    <row r="27" spans="3:10" s="2" customFormat="1" ht="15.75" customHeight="1">
      <c r="E27" s="5"/>
      <c r="F27" s="5"/>
      <c r="G27" s="9"/>
      <c r="H27" s="5"/>
      <c r="I27" s="4"/>
    </row>
    <row r="34" spans="15:15" ht="15.75" customHeight="1">
      <c r="O34" s="6"/>
    </row>
  </sheetData>
  <phoneticPr fontId="2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6190-ADEF-4DF5-92D6-DDE34C7D0D90}">
  <dimension ref="A1:AD33"/>
  <sheetViews>
    <sheetView topLeftCell="I8" workbookViewId="0">
      <selection activeCell="I21" sqref="I21"/>
    </sheetView>
  </sheetViews>
  <sheetFormatPr defaultColWidth="8.85546875" defaultRowHeight="15.75" customHeight="1"/>
  <cols>
    <col min="1" max="1" width="30.42578125" customWidth="1"/>
    <col min="2" max="2" width="33.42578125" customWidth="1"/>
    <col min="3" max="3" width="30.28515625" customWidth="1"/>
    <col min="4" max="4" width="26.42578125" bestFit="1" customWidth="1"/>
    <col min="5" max="5" width="9.42578125" bestFit="1" customWidth="1"/>
    <col min="6" max="6" width="10.85546875" bestFit="1" customWidth="1"/>
    <col min="7" max="7" width="13.85546875" style="7" bestFit="1" customWidth="1"/>
    <col min="8" max="8" width="8.140625" style="1" bestFit="1" customWidth="1"/>
    <col min="9" max="9" width="13.85546875" style="1" bestFit="1" customWidth="1"/>
    <col min="10" max="10" width="11.140625" bestFit="1" customWidth="1"/>
    <col min="11" max="13" width="6.85546875" customWidth="1"/>
    <col min="14" max="14" width="10.85546875" customWidth="1"/>
    <col min="15" max="24" width="6.85546875" customWidth="1"/>
  </cols>
  <sheetData>
    <row r="1" spans="1:16" ht="15.75" customHeigh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8" t="s">
        <v>38</v>
      </c>
      <c r="H1" s="11" t="s">
        <v>39</v>
      </c>
      <c r="I1" s="11" t="s">
        <v>40</v>
      </c>
    </row>
    <row r="3" spans="1:16" ht="15.75" customHeight="1">
      <c r="A3" t="s">
        <v>48</v>
      </c>
      <c r="C3" s="10"/>
      <c r="E3" s="12"/>
      <c r="F3" s="12"/>
      <c r="G3" s="7">
        <f>((F3-E3)*Variables!$C$5)+E3</f>
        <v>0</v>
      </c>
      <c r="H3" s="1">
        <f>(F3-E3)/Variables!$C$3</f>
        <v>0</v>
      </c>
      <c r="I3" s="1">
        <f t="shared" ref="I3" si="0">H3^2</f>
        <v>0</v>
      </c>
    </row>
    <row r="4" spans="1:16" ht="15.75" customHeight="1">
      <c r="B4" t="s">
        <v>49</v>
      </c>
      <c r="C4" s="10" t="s">
        <v>50</v>
      </c>
      <c r="E4" s="12">
        <v>80</v>
      </c>
      <c r="F4" s="12">
        <v>120</v>
      </c>
      <c r="G4" s="7">
        <f>((F4-E4)*Variables!$C$5)+E4</f>
        <v>93.2</v>
      </c>
      <c r="H4" s="1">
        <f>(F4-E4)/Variables!$C$3</f>
        <v>15.384615384615383</v>
      </c>
      <c r="I4" s="1">
        <f t="shared" ref="I4:I16" si="1">H4^2</f>
        <v>236.68639053254432</v>
      </c>
    </row>
    <row r="5" spans="1:16" ht="15.75" customHeight="1">
      <c r="B5" t="s">
        <v>51</v>
      </c>
      <c r="C5" s="10" t="s">
        <v>52</v>
      </c>
      <c r="E5" s="12">
        <v>70</v>
      </c>
      <c r="F5" s="12">
        <v>200</v>
      </c>
      <c r="G5" s="7">
        <f>((F5-E5)*Variables!$C$5)+E5</f>
        <v>112.9</v>
      </c>
      <c r="H5" s="1">
        <f>(F5-E5)/Variables!$C$3</f>
        <v>50</v>
      </c>
      <c r="I5" s="1">
        <f t="shared" si="1"/>
        <v>2500</v>
      </c>
    </row>
    <row r="6" spans="1:16" ht="15.75" customHeight="1">
      <c r="B6" t="s">
        <v>53</v>
      </c>
      <c r="C6" s="10" t="s">
        <v>54</v>
      </c>
      <c r="D6" t="s">
        <v>55</v>
      </c>
      <c r="E6" s="12">
        <v>100</v>
      </c>
      <c r="F6" s="12">
        <v>320</v>
      </c>
      <c r="G6" s="7">
        <f>((F6-E6)*Variables!$C$5)+E6</f>
        <v>172.60000000000002</v>
      </c>
      <c r="H6" s="1">
        <f>(F6-E6)/Variables!$C$3</f>
        <v>84.615384615384613</v>
      </c>
      <c r="I6" s="1">
        <f t="shared" si="1"/>
        <v>7159.7633136094673</v>
      </c>
    </row>
    <row r="7" spans="1:16" ht="15.75" customHeight="1">
      <c r="B7" t="s">
        <v>56</v>
      </c>
      <c r="C7" s="10" t="s">
        <v>57</v>
      </c>
      <c r="E7" s="12">
        <v>40</v>
      </c>
      <c r="F7" s="12">
        <v>80</v>
      </c>
      <c r="G7" s="7">
        <f>((F7-E7)*Variables!$C$5)+E7</f>
        <v>53.2</v>
      </c>
      <c r="H7" s="1">
        <f>(F7-E7)/Variables!$C$3</f>
        <v>15.384615384615383</v>
      </c>
      <c r="I7" s="1">
        <f t="shared" si="1"/>
        <v>236.68639053254432</v>
      </c>
    </row>
    <row r="8" spans="1:16" ht="15.75" customHeight="1">
      <c r="B8" t="s">
        <v>58</v>
      </c>
      <c r="C8" s="10" t="s">
        <v>52</v>
      </c>
      <c r="E8" s="12">
        <v>60</v>
      </c>
      <c r="F8" s="12">
        <v>90</v>
      </c>
      <c r="G8" s="7">
        <f>((F8-E8)*Variables!$C$5)+E8</f>
        <v>69.900000000000006</v>
      </c>
      <c r="H8" s="1">
        <f>(F8-E8)/Variables!$C$3</f>
        <v>11.538461538461538</v>
      </c>
      <c r="I8" s="1">
        <f t="shared" si="1"/>
        <v>133.1360946745562</v>
      </c>
    </row>
    <row r="9" spans="1:16" ht="15.75" customHeight="1">
      <c r="B9" t="s">
        <v>59</v>
      </c>
      <c r="C9" s="10"/>
      <c r="D9" t="s">
        <v>60</v>
      </c>
      <c r="E9" s="12">
        <v>80</v>
      </c>
      <c r="F9" s="12">
        <v>160</v>
      </c>
      <c r="G9" s="7">
        <f>((F9-E9)*Variables!$C$5)+E9</f>
        <v>106.4</v>
      </c>
      <c r="H9" s="1">
        <f>(F9-E9)/Variables!$C$3</f>
        <v>30.769230769230766</v>
      </c>
      <c r="I9" s="1">
        <f t="shared" si="1"/>
        <v>946.74556213017729</v>
      </c>
    </row>
    <row r="10" spans="1:16" ht="15.75" customHeight="1">
      <c r="C10" s="10"/>
      <c r="E10" s="12"/>
      <c r="F10" s="12"/>
      <c r="G10" s="7">
        <f>((F10-E10)*Variables!$C$5)+E10</f>
        <v>0</v>
      </c>
      <c r="H10" s="1">
        <f>(F10-E10)/Variables!$C$3</f>
        <v>0</v>
      </c>
      <c r="I10" s="1">
        <f t="shared" si="1"/>
        <v>0</v>
      </c>
    </row>
    <row r="11" spans="1:16" ht="15.75" customHeight="1">
      <c r="A11" t="s">
        <v>61</v>
      </c>
      <c r="C11" s="10"/>
      <c r="E11" s="12"/>
      <c r="F11" s="12"/>
      <c r="G11" s="7">
        <f>((F11-E11)*Variables!$C$5)+E11</f>
        <v>0</v>
      </c>
      <c r="H11" s="1">
        <f>(F11-E11)/Variables!$C$3</f>
        <v>0</v>
      </c>
      <c r="I11" s="1">
        <f t="shared" si="1"/>
        <v>0</v>
      </c>
    </row>
    <row r="12" spans="1:16" ht="15.75" customHeight="1">
      <c r="B12" t="s">
        <v>62</v>
      </c>
      <c r="C12" s="10"/>
      <c r="E12" s="12">
        <v>4</v>
      </c>
      <c r="F12" s="12">
        <v>16</v>
      </c>
      <c r="G12" s="7">
        <f>((F12-E12)*Variables!$C$5)+E12</f>
        <v>7.96</v>
      </c>
      <c r="H12" s="1">
        <f>(F12-E12)/Variables!$C$3</f>
        <v>4.615384615384615</v>
      </c>
      <c r="I12" s="1">
        <f t="shared" si="1"/>
        <v>21.301775147928989</v>
      </c>
    </row>
    <row r="13" spans="1:16" ht="15.75" customHeight="1">
      <c r="B13" t="s">
        <v>63</v>
      </c>
      <c r="C13" s="10"/>
      <c r="D13" t="s">
        <v>64</v>
      </c>
      <c r="E13" s="12">
        <v>80</v>
      </c>
      <c r="F13" s="12">
        <v>100</v>
      </c>
      <c r="G13" s="7">
        <f>((F13-E13)*Variables!$C$5)+E13</f>
        <v>86.6</v>
      </c>
      <c r="H13" s="1">
        <f>(F13-E13)/Variables!$C$3</f>
        <v>7.6923076923076916</v>
      </c>
      <c r="I13" s="1">
        <f t="shared" si="1"/>
        <v>59.171597633136081</v>
      </c>
    </row>
    <row r="14" spans="1:16" ht="15.75" customHeight="1">
      <c r="A14" t="s">
        <v>65</v>
      </c>
      <c r="C14" s="10"/>
      <c r="E14" s="12"/>
      <c r="F14" s="12"/>
      <c r="G14" s="7">
        <f>((F14-E14)*Variables!$C$5)+E14</f>
        <v>0</v>
      </c>
      <c r="H14" s="1">
        <f>(F14-E14)/Variables!$C$3</f>
        <v>0</v>
      </c>
      <c r="I14" s="1">
        <f t="shared" si="1"/>
        <v>0</v>
      </c>
    </row>
    <row r="15" spans="1:16" ht="15.75" customHeight="1">
      <c r="B15" t="s">
        <v>66</v>
      </c>
      <c r="C15" s="10"/>
      <c r="E15" s="12">
        <v>40</v>
      </c>
      <c r="F15" s="12">
        <v>100</v>
      </c>
      <c r="G15" s="7">
        <f>((F15-E15)*Variables!$C$5)+E15</f>
        <v>59.8</v>
      </c>
      <c r="H15" s="1">
        <f>(F15-E15)/Variables!$C$3</f>
        <v>23.076923076923077</v>
      </c>
      <c r="I15" s="1">
        <f t="shared" si="1"/>
        <v>532.54437869822482</v>
      </c>
      <c r="M15" s="14" t="s">
        <v>67</v>
      </c>
    </row>
    <row r="16" spans="1:16" ht="15.75" customHeight="1">
      <c r="B16" t="s">
        <v>68</v>
      </c>
      <c r="C16" s="10"/>
      <c r="E16" s="12">
        <v>16</v>
      </c>
      <c r="F16" s="12">
        <v>30</v>
      </c>
      <c r="G16" s="7">
        <f>((F16-E16)*Variables!$C$5)+E16</f>
        <v>20.62</v>
      </c>
      <c r="H16" s="1">
        <f>(F16-E16)/Variables!$C$3</f>
        <v>5.3846153846153841</v>
      </c>
      <c r="I16" s="1">
        <f t="shared" si="1"/>
        <v>28.994082840236683</v>
      </c>
      <c r="P16" s="2" t="s">
        <v>69</v>
      </c>
    </row>
    <row r="17" spans="4:30" ht="15.75" customHeight="1">
      <c r="M17" s="2" t="s">
        <v>70</v>
      </c>
      <c r="P17" s="2">
        <v>1</v>
      </c>
      <c r="Q17" s="2">
        <v>2</v>
      </c>
      <c r="R17" s="2">
        <v>3</v>
      </c>
      <c r="S17" s="2">
        <v>4</v>
      </c>
      <c r="T17" s="2">
        <v>5</v>
      </c>
      <c r="U17" s="2">
        <v>6</v>
      </c>
      <c r="V17" s="2">
        <v>7</v>
      </c>
      <c r="W17" s="2">
        <v>8</v>
      </c>
      <c r="X17" s="2">
        <v>9</v>
      </c>
      <c r="Y17" s="2">
        <v>10</v>
      </c>
      <c r="Z17" s="2">
        <v>11</v>
      </c>
      <c r="AA17" s="2">
        <v>12</v>
      </c>
      <c r="AB17" s="2">
        <v>13</v>
      </c>
      <c r="AC17" s="2">
        <v>14</v>
      </c>
      <c r="AD17" s="2">
        <v>15</v>
      </c>
    </row>
    <row r="18" spans="4:30" s="2" customFormat="1" ht="15.75" customHeight="1">
      <c r="D18" s="2" t="s">
        <v>41</v>
      </c>
      <c r="E18" s="2">
        <f>SUM(E2:E17)</f>
        <v>570</v>
      </c>
      <c r="F18" s="2">
        <f>SUM(F2:F17)</f>
        <v>1216</v>
      </c>
      <c r="G18" s="8">
        <f>SUM(G2:G17)</f>
        <v>783.18000000000006</v>
      </c>
      <c r="H18" s="3" t="s">
        <v>42</v>
      </c>
      <c r="I18" s="4">
        <f>SUM(I2:I17)</f>
        <v>11855.029585798815</v>
      </c>
      <c r="M18" t="s">
        <v>71</v>
      </c>
      <c r="O18">
        <f t="shared" ref="O18:O21" si="2">SUM(P18:AD18)</f>
        <v>84</v>
      </c>
      <c r="P18">
        <v>6</v>
      </c>
      <c r="Q18">
        <v>6</v>
      </c>
      <c r="R18">
        <v>6</v>
      </c>
      <c r="S18">
        <v>6</v>
      </c>
      <c r="T18">
        <v>6</v>
      </c>
      <c r="U18">
        <v>6</v>
      </c>
      <c r="V18" t="s">
        <v>72</v>
      </c>
      <c r="W18">
        <v>6</v>
      </c>
      <c r="X18">
        <v>6</v>
      </c>
      <c r="Y18">
        <v>6</v>
      </c>
      <c r="Z18">
        <v>6</v>
      </c>
      <c r="AA18">
        <v>6</v>
      </c>
      <c r="AB18">
        <v>6</v>
      </c>
      <c r="AC18">
        <v>6</v>
      </c>
      <c r="AD18">
        <v>6</v>
      </c>
    </row>
    <row r="19" spans="4:30" s="2" customFormat="1" ht="15.75" customHeight="1">
      <c r="D19" s="2" t="s">
        <v>39</v>
      </c>
      <c r="E19" s="5" t="s">
        <v>42</v>
      </c>
      <c r="F19" s="5" t="s">
        <v>42</v>
      </c>
      <c r="G19" s="9"/>
      <c r="H19" s="5" t="s">
        <v>42</v>
      </c>
      <c r="I19" s="4">
        <f>SQRT(I18)</f>
        <v>108.88080448728699</v>
      </c>
      <c r="M19" s="13" t="s">
        <v>73</v>
      </c>
      <c r="O19">
        <f t="shared" si="2"/>
        <v>432</v>
      </c>
      <c r="P19">
        <v>36</v>
      </c>
      <c r="Q19">
        <v>36</v>
      </c>
      <c r="R19">
        <v>36</v>
      </c>
      <c r="S19">
        <v>36</v>
      </c>
      <c r="T19">
        <v>36</v>
      </c>
      <c r="U19">
        <v>36</v>
      </c>
      <c r="V19" t="s">
        <v>72</v>
      </c>
      <c r="W19" t="s">
        <v>74</v>
      </c>
      <c r="X19" t="s">
        <v>74</v>
      </c>
      <c r="Y19">
        <v>36</v>
      </c>
      <c r="Z19">
        <v>36</v>
      </c>
      <c r="AA19">
        <v>36</v>
      </c>
      <c r="AB19">
        <v>36</v>
      </c>
      <c r="AC19">
        <v>36</v>
      </c>
      <c r="AD19">
        <v>36</v>
      </c>
    </row>
    <row r="20" spans="4:30" s="2" customFormat="1" ht="15.75" customHeight="1">
      <c r="D20" s="2" t="s">
        <v>43</v>
      </c>
      <c r="E20" s="5"/>
      <c r="F20" s="5"/>
      <c r="G20" s="9"/>
      <c r="H20" s="5"/>
      <c r="I20" s="4">
        <f>G18+I19</f>
        <v>892.0608044872871</v>
      </c>
      <c r="J20" s="2" t="s">
        <v>44</v>
      </c>
      <c r="M20" t="s">
        <v>75</v>
      </c>
      <c r="O20">
        <f t="shared" si="2"/>
        <v>504</v>
      </c>
      <c r="P20">
        <v>36</v>
      </c>
      <c r="Q20">
        <v>36</v>
      </c>
      <c r="R20">
        <v>36</v>
      </c>
      <c r="S20">
        <v>36</v>
      </c>
      <c r="T20">
        <v>36</v>
      </c>
      <c r="U20">
        <v>36</v>
      </c>
      <c r="V20" t="s">
        <v>72</v>
      </c>
      <c r="W20">
        <v>36</v>
      </c>
      <c r="X20">
        <v>36</v>
      </c>
      <c r="Y20">
        <v>36</v>
      </c>
      <c r="Z20">
        <v>36</v>
      </c>
      <c r="AA20">
        <v>36</v>
      </c>
      <c r="AB20">
        <v>36</v>
      </c>
      <c r="AC20">
        <v>36</v>
      </c>
      <c r="AD20">
        <v>36</v>
      </c>
    </row>
    <row r="21" spans="4:30" s="2" customFormat="1" ht="15.75" customHeight="1">
      <c r="E21" s="5"/>
      <c r="F21" s="5"/>
      <c r="G21" s="9"/>
      <c r="H21" s="5"/>
      <c r="I21" s="4">
        <f>I20/Variables!$C$4</f>
        <v>24.779466791313531</v>
      </c>
      <c r="J21" s="2" t="s">
        <v>45</v>
      </c>
      <c r="M21" s="13" t="s">
        <v>76</v>
      </c>
      <c r="O21">
        <f t="shared" si="2"/>
        <v>140</v>
      </c>
      <c r="P21">
        <v>8</v>
      </c>
      <c r="Q21">
        <v>8</v>
      </c>
      <c r="R21"/>
      <c r="S21"/>
      <c r="T21"/>
      <c r="U21"/>
      <c r="V21" t="s">
        <v>72</v>
      </c>
      <c r="W21">
        <v>8</v>
      </c>
      <c r="X21">
        <v>8</v>
      </c>
      <c r="Y21">
        <v>8</v>
      </c>
      <c r="Z21">
        <v>20</v>
      </c>
      <c r="AA21">
        <v>20</v>
      </c>
      <c r="AB21">
        <v>20</v>
      </c>
      <c r="AC21">
        <v>20</v>
      </c>
      <c r="AD21">
        <v>20</v>
      </c>
    </row>
    <row r="22" spans="4:30" s="2" customFormat="1" ht="15.75" customHeight="1">
      <c r="D22" s="2" t="s">
        <v>46</v>
      </c>
      <c r="E22" s="5"/>
      <c r="F22" s="5"/>
      <c r="G22" s="9"/>
      <c r="H22" s="5"/>
      <c r="I22" s="4">
        <f>_xlfn.CEILING.MATH(Variables!$C$2*('Worksheet Example'!I21^(1/3)))</f>
        <v>11</v>
      </c>
      <c r="J22" s="2" t="s">
        <v>47</v>
      </c>
      <c r="M22" s="2" t="s">
        <v>77</v>
      </c>
      <c r="O22" s="2">
        <f>SUM(P22:AD22)</f>
        <v>1160</v>
      </c>
      <c r="P22" s="2">
        <f>SUM(P18:P21)</f>
        <v>86</v>
      </c>
      <c r="Q22" s="2">
        <f t="shared" ref="Q22:Z22" si="3">SUM(Q18:Q21)</f>
        <v>86</v>
      </c>
      <c r="R22" s="2">
        <f t="shared" si="3"/>
        <v>78</v>
      </c>
      <c r="S22" s="2">
        <f t="shared" si="3"/>
        <v>78</v>
      </c>
      <c r="T22" s="2">
        <f t="shared" si="3"/>
        <v>78</v>
      </c>
      <c r="U22" s="2">
        <f t="shared" si="3"/>
        <v>78</v>
      </c>
      <c r="V22" s="2">
        <f t="shared" si="3"/>
        <v>0</v>
      </c>
      <c r="W22" s="2">
        <f t="shared" si="3"/>
        <v>50</v>
      </c>
      <c r="X22" s="2">
        <f t="shared" si="3"/>
        <v>50</v>
      </c>
      <c r="Y22" s="2">
        <f t="shared" si="3"/>
        <v>86</v>
      </c>
      <c r="Z22" s="2">
        <f t="shared" si="3"/>
        <v>98</v>
      </c>
      <c r="AA22" s="2">
        <f t="shared" ref="AA22" si="4">SUM(AA18:AA21)</f>
        <v>98</v>
      </c>
      <c r="AB22" s="2">
        <f t="shared" ref="AB22" si="5">SUM(AB18:AB21)</f>
        <v>98</v>
      </c>
      <c r="AC22" s="2">
        <f t="shared" ref="AC22" si="6">SUM(AC18:AC21)</f>
        <v>98</v>
      </c>
      <c r="AD22" s="2">
        <f t="shared" ref="AD22" si="7">SUM(AD18:AD21)</f>
        <v>98</v>
      </c>
    </row>
    <row r="23" spans="4:30" s="2" customFormat="1" ht="15.75" customHeight="1">
      <c r="D23" s="16" t="s">
        <v>78</v>
      </c>
      <c r="E23" s="5"/>
      <c r="F23" s="5"/>
      <c r="G23" s="9"/>
      <c r="H23" s="5"/>
      <c r="I23" s="4"/>
    </row>
    <row r="24" spans="4:30" s="2" customFormat="1" ht="15.75" customHeight="1">
      <c r="E24" s="5"/>
      <c r="F24" s="5"/>
      <c r="G24" s="9"/>
      <c r="H24" s="5"/>
      <c r="I24" s="4"/>
      <c r="P24" s="2" t="s">
        <v>35</v>
      </c>
    </row>
    <row r="25" spans="4:30" s="2" customFormat="1" ht="15.75" customHeight="1">
      <c r="E25" s="5"/>
      <c r="F25" s="5"/>
      <c r="G25" s="9"/>
      <c r="H25" s="5"/>
      <c r="I25" s="4"/>
      <c r="P25" t="s">
        <v>79</v>
      </c>
    </row>
    <row r="26" spans="4:30" s="2" customFormat="1" ht="15.75" customHeight="1">
      <c r="E26" s="5"/>
      <c r="F26" s="5"/>
      <c r="G26" s="9"/>
      <c r="H26" s="5"/>
      <c r="I26" s="4"/>
      <c r="P26" s="13" t="s">
        <v>80</v>
      </c>
    </row>
    <row r="27" spans="4:30" ht="15.75" customHeight="1">
      <c r="P27" t="s">
        <v>81</v>
      </c>
    </row>
    <row r="28" spans="4:30" ht="15.75" customHeight="1">
      <c r="P28" t="s">
        <v>82</v>
      </c>
    </row>
    <row r="29" spans="4:30" ht="15.75" customHeight="1">
      <c r="P29" t="s">
        <v>83</v>
      </c>
    </row>
    <row r="33" spans="15:15" ht="15.75" customHeight="1">
      <c r="O33" s="6"/>
    </row>
  </sheetData>
  <phoneticPr fontId="2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F10B-F625-469C-8E92-B816E38DD69A}">
  <dimension ref="B2:C5"/>
  <sheetViews>
    <sheetView workbookViewId="0">
      <selection activeCell="C5" sqref="C5"/>
    </sheetView>
  </sheetViews>
  <sheetFormatPr defaultColWidth="8.85546875" defaultRowHeight="15"/>
  <cols>
    <col min="2" max="2" width="23.28515625" bestFit="1" customWidth="1"/>
  </cols>
  <sheetData>
    <row r="2" spans="2:3">
      <c r="B2" t="s">
        <v>84</v>
      </c>
      <c r="C2">
        <v>3.5</v>
      </c>
    </row>
    <row r="3" spans="2:3">
      <c r="B3" t="s">
        <v>85</v>
      </c>
      <c r="C3">
        <v>2.6</v>
      </c>
    </row>
    <row r="4" spans="2:3">
      <c r="B4" t="s">
        <v>86</v>
      </c>
      <c r="C4">
        <v>36</v>
      </c>
    </row>
    <row r="5" spans="2:3">
      <c r="B5" t="s">
        <v>87</v>
      </c>
      <c r="C5">
        <v>0.33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SharedContentType xmlns="Microsoft.SharePoint.Taxonomy.ContentTypeSync" SourceId="bb66cf80-af30-4400-b1a6-2fcc2cef9936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89E0F0DAC1774B8369C742CEE1A0C2" ma:contentTypeVersion="24" ma:contentTypeDescription="Create a new document." ma:contentTypeScope="" ma:versionID="cadcbf3dde5b67a12b61c35be9223eb4">
  <xsd:schema xmlns:xsd="http://www.w3.org/2001/XMLSchema" xmlns:xs="http://www.w3.org/2001/XMLSchema" xmlns:p="http://schemas.microsoft.com/office/2006/metadata/properties" xmlns:ns1="http://schemas.microsoft.com/sharepoint/v3" xmlns:ns2="3e198b58-b491-4bbc-827a-e8f1925e0740" xmlns:ns3="23e0f3b1-5478-4250-8f4a-9678f3316e66" xmlns:ns4="293ada8e-2b0f-4b15-a622-1855cbffeddd" targetNamespace="http://schemas.microsoft.com/office/2006/metadata/properties" ma:root="true" ma:fieldsID="46ca394c833c1c985234c5bde6d16ac9" ns1:_="" ns2:_="" ns3:_="" ns4:_="">
    <xsd:import namespace="http://schemas.microsoft.com/sharepoint/v3"/>
    <xsd:import namespace="3e198b58-b491-4bbc-827a-e8f1925e0740"/>
    <xsd:import namespace="23e0f3b1-5478-4250-8f4a-9678f3316e66"/>
    <xsd:import namespace="293ada8e-2b0f-4b15-a622-1855cbffedd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Testcasepriority" minOccurs="0"/>
                <xsd:element ref="ns3:lcf76f155ced4ddcb4097134ff3c332f" minOccurs="0"/>
                <xsd:element ref="ns2:TaxCatchAll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98b58-b491-4bbc-827a-e8f1925e07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9" nillable="true" ma:displayName="Taxonomy Catch All Column" ma:hidden="true" ma:list="{3040568e-47be-4fe3-a6a2-69802d7406f8}" ma:internalName="TaxCatchAll" ma:showField="CatchAllData" ma:web="293ada8e-2b0f-4b15-a622-1855cbffed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0f3b1-5478-4250-8f4a-9678f3316e66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Testcasepriority" ma:index="26" nillable="true" ma:displayName="Test case priority" ma:format="Dropdown" ma:internalName="Testcasepriority">
      <xsd:simpleType>
        <xsd:restriction base="dms:Note">
          <xsd:maxLength value="255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bb66cf80-af30-4400-b1a6-2fcc2cef9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3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ada8e-2b0f-4b15-a622-1855cbffedd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3e0f3b1-5478-4250-8f4a-9678f3316e66">
      <Terms xmlns="http://schemas.microsoft.com/office/infopath/2007/PartnerControls"/>
    </lcf76f155ced4ddcb4097134ff3c332f>
    <_ip_UnifiedCompliancePolicyProperties xmlns="http://schemas.microsoft.com/sharepoint/v3" xsi:nil="true"/>
    <Comments xmlns="23e0f3b1-5478-4250-8f4a-9678f3316e66" xsi:nil="true"/>
    <Testcasepriority xmlns="23e0f3b1-5478-4250-8f4a-9678f3316e66" xsi:nil="true"/>
    <TaxCatchAll xmlns="3e198b58-b491-4bbc-827a-e8f1925e0740" xsi:nil="true"/>
  </documentManagement>
</p:properties>
</file>

<file path=customXml/itemProps1.xml><?xml version="1.0" encoding="utf-8"?>
<ds:datastoreItem xmlns:ds="http://schemas.openxmlformats.org/officeDocument/2006/customXml" ds:itemID="{F2216F56-29D4-42F9-AFC7-AA550385BF27}"/>
</file>

<file path=customXml/itemProps2.xml><?xml version="1.0" encoding="utf-8"?>
<ds:datastoreItem xmlns:ds="http://schemas.openxmlformats.org/officeDocument/2006/customXml" ds:itemID="{8911115C-71F4-418D-87A9-30E1675943AD}"/>
</file>

<file path=customXml/itemProps3.xml><?xml version="1.0" encoding="utf-8"?>
<ds:datastoreItem xmlns:ds="http://schemas.openxmlformats.org/officeDocument/2006/customXml" ds:itemID="{E40BECD0-0A64-4530-B05D-CB965AF6D1CF}"/>
</file>

<file path=customXml/itemProps4.xml><?xml version="1.0" encoding="utf-8"?>
<ds:datastoreItem xmlns:ds="http://schemas.openxmlformats.org/officeDocument/2006/customXml" ds:itemID="{7AD99FE9-D8A4-4235-8E73-60B28BE25934}"/>
</file>

<file path=customXml/itemProps5.xml><?xml version="1.0" encoding="utf-8"?>
<ds:datastoreItem xmlns:ds="http://schemas.openxmlformats.org/officeDocument/2006/customXml" ds:itemID="{48A1A137-F60D-4219-8A18-F9B767209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 Sanford</dc:creator>
  <cp:keywords/>
  <dc:description/>
  <cp:lastModifiedBy/>
  <cp:revision/>
  <dcterms:created xsi:type="dcterms:W3CDTF">2019-06-12T16:00:52Z</dcterms:created>
  <dcterms:modified xsi:type="dcterms:W3CDTF">2026-01-29T02:56:49Z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0x0101005889E0F0DAC1774B8369C742CEE1A0C2</vt:lpwstr>
  </property>
  <property fmtid="{D5CDD505-2E9C-101B-9397-08002B2CF9AE}" pid="3" name="MediaServiceImageTags">
    <vt:lpwstr/>
  </property>
  <property fmtid="{D5CDD505-2E9C-101B-9397-08002B2CF9AE}" pid="4" name="MSIP_Label_b659fcd5-d293-47d3-bab7-f90054d568a0_Enabled">
    <vt:lpwstr>true</vt:lpwstr>
  </property>
  <property fmtid="{D5CDD505-2E9C-101B-9397-08002B2CF9AE}" pid="5" name="MSIP_Label_b659fcd5-d293-47d3-bab7-f90054d568a0_SetDate">
    <vt:lpwstr>2024-07-29T15:19:57Z</vt:lpwstr>
  </property>
  <property fmtid="{D5CDD505-2E9C-101B-9397-08002B2CF9AE}" pid="6" name="MSIP_Label_b659fcd5-d293-47d3-bab7-f90054d568a0_Method">
    <vt:lpwstr>Standard</vt:lpwstr>
  </property>
  <property fmtid="{D5CDD505-2E9C-101B-9397-08002B2CF9AE}" pid="7" name="MSIP_Label_b659fcd5-d293-47d3-bab7-f90054d568a0_Name">
    <vt:lpwstr>Internal</vt:lpwstr>
  </property>
  <property fmtid="{D5CDD505-2E9C-101B-9397-08002B2CF9AE}" pid="8" name="MSIP_Label_b659fcd5-d293-47d3-bab7-f90054d568a0_SiteId">
    <vt:lpwstr>9b415222-16dc-4250-bd60-8a375591609a</vt:lpwstr>
  </property>
  <property fmtid="{D5CDD505-2E9C-101B-9397-08002B2CF9AE}" pid="9" name="MSIP_Label_b659fcd5-d293-47d3-bab7-f90054d568a0_ActionId">
    <vt:lpwstr>74071f5c-ab80-44e5-94da-c1157009703d</vt:lpwstr>
  </property>
  <property fmtid="{D5CDD505-2E9C-101B-9397-08002B2CF9AE}" pid="10" name="MSIP_Label_b659fcd5-d293-47d3-bab7-f90054d568a0_ContentBits">
    <vt:lpwstr>0</vt:lpwstr>
  </property>
</Properties>
</file>